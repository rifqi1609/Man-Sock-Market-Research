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Portfolio\Man-Sock-Market-Research\"/>
    </mc:Choice>
  </mc:AlternateContent>
  <xr:revisionPtr revIDLastSave="0" documentId="13_ncr:1_{7CD080AA-3B35-4062-8F5A-F196304A28BA}" xr6:coauthVersionLast="47" xr6:coauthVersionMax="47" xr10:uidLastSave="{00000000-0000-0000-0000-000000000000}"/>
  <bookViews>
    <workbookView xWindow="6135" yWindow="2325" windowWidth="21600" windowHeight="11295" activeTab="1" xr2:uid="{07088392-38A6-4DC9-A210-B2B2507AC305}"/>
  </bookViews>
  <sheets>
    <sheet name="Correlation Conclusion" sheetId="3" r:id="rId1"/>
    <sheet name="Margin Calculation" sheetId="4" r:id="rId2"/>
  </sheets>
  <calcPr calcId="191029"/>
</workbook>
</file>

<file path=xl/calcChain.xml><?xml version="1.0" encoding="utf-8"?>
<calcChain xmlns="http://schemas.openxmlformats.org/spreadsheetml/2006/main">
  <c r="C15" i="4" l="1"/>
  <c r="D15" i="4"/>
  <c r="E15" i="4"/>
  <c r="C16" i="4"/>
  <c r="D16" i="4"/>
  <c r="E16" i="4"/>
  <c r="C17" i="4"/>
  <c r="D17" i="4"/>
  <c r="E17" i="4"/>
  <c r="C18" i="4"/>
  <c r="D18" i="4"/>
  <c r="E18" i="4"/>
  <c r="C19" i="4"/>
  <c r="D19" i="4"/>
  <c r="E19" i="4"/>
  <c r="C20" i="4"/>
  <c r="D20" i="4"/>
  <c r="E20" i="4"/>
  <c r="C21" i="4"/>
  <c r="D21" i="4"/>
  <c r="E21" i="4"/>
  <c r="C22" i="4"/>
  <c r="D22" i="4"/>
  <c r="E22" i="4"/>
  <c r="C23" i="4"/>
  <c r="D23" i="4"/>
  <c r="E23" i="4"/>
  <c r="C24" i="4"/>
  <c r="D24" i="4"/>
  <c r="E24" i="4"/>
  <c r="C25" i="4"/>
  <c r="D25" i="4"/>
  <c r="E25" i="4"/>
  <c r="E14" i="4"/>
  <c r="H14" i="4" s="1"/>
  <c r="D14" i="4"/>
  <c r="G14" i="4" s="1"/>
  <c r="G15" i="4" s="1"/>
  <c r="G16" i="4" s="1"/>
  <c r="C14" i="4"/>
  <c r="F14" i="4" s="1"/>
  <c r="K22" i="4"/>
  <c r="K24" i="4" s="1"/>
  <c r="B11" i="4" s="1"/>
  <c r="K8" i="4"/>
  <c r="L3" i="4" s="1"/>
  <c r="F15" i="4" l="1"/>
  <c r="F16" i="4" s="1"/>
  <c r="H15" i="4"/>
  <c r="H16" i="4" s="1"/>
  <c r="H17" i="4" s="1"/>
  <c r="H18" i="4" s="1"/>
  <c r="F17" i="4"/>
  <c r="F18" i="4" s="1"/>
  <c r="F19" i="4" s="1"/>
  <c r="F20" i="4" s="1"/>
  <c r="F21" i="4" s="1"/>
  <c r="F22" i="4" s="1"/>
  <c r="F23" i="4" s="1"/>
  <c r="F24" i="4" s="1"/>
  <c r="F25" i="4" s="1"/>
  <c r="G17" i="4"/>
  <c r="G18" i="4" s="1"/>
  <c r="G19" i="4" s="1"/>
  <c r="G20" i="4" s="1"/>
  <c r="G21" i="4" s="1"/>
  <c r="G22" i="4" s="1"/>
  <c r="G23" i="4" s="1"/>
  <c r="G24" i="4" s="1"/>
  <c r="G25" i="4" s="1"/>
  <c r="H19" i="4"/>
  <c r="H20" i="4" s="1"/>
  <c r="H21" i="4" s="1"/>
  <c r="H22" i="4" s="1"/>
  <c r="H23" i="4" s="1"/>
  <c r="H24" i="4" s="1"/>
  <c r="H25" i="4" s="1"/>
  <c r="K23" i="4"/>
  <c r="B10" i="4" s="1"/>
  <c r="K11" i="4"/>
  <c r="K15" i="4" s="1"/>
  <c r="C3" i="4" s="1"/>
  <c r="D3" i="4" s="1"/>
  <c r="L2" i="4"/>
  <c r="L5" i="4"/>
  <c r="L4" i="4"/>
  <c r="F3" i="4" l="1"/>
  <c r="K17" i="4"/>
  <c r="C5" i="4" s="1"/>
  <c r="D5" i="4" s="1"/>
  <c r="K14" i="4"/>
  <c r="C2" i="4" s="1"/>
  <c r="D2" i="4" s="1"/>
  <c r="K16" i="4"/>
  <c r="C4" i="4" s="1"/>
  <c r="D4" i="4" s="1"/>
  <c r="F4" i="4" l="1"/>
  <c r="F2" i="4"/>
  <c r="F5" i="4"/>
  <c r="B9" i="4"/>
</calcChain>
</file>

<file path=xl/sharedStrings.xml><?xml version="1.0" encoding="utf-8"?>
<sst xmlns="http://schemas.openxmlformats.org/spreadsheetml/2006/main" count="59" uniqueCount="43">
  <si>
    <t>Bulan ke-</t>
  </si>
  <si>
    <t>Units Sold Target</t>
  </si>
  <si>
    <t>Units Sold</t>
  </si>
  <si>
    <t>Price</t>
  </si>
  <si>
    <t>Product Score</t>
  </si>
  <si>
    <t>Store Score</t>
  </si>
  <si>
    <t>Correlation</t>
  </si>
  <si>
    <t>ANOVA</t>
  </si>
  <si>
    <t>Margin Expectation</t>
  </si>
  <si>
    <t>Price Group</t>
  </si>
  <si>
    <t>Rp23,5k-up</t>
  </si>
  <si>
    <t>Rp13-23,5k</t>
  </si>
  <si>
    <t>Rp9-13k</t>
  </si>
  <si>
    <t>Rp2-9k</t>
  </si>
  <si>
    <t>Expected Net Profit</t>
  </si>
  <si>
    <t>SAM</t>
  </si>
  <si>
    <t>Populasi</t>
  </si>
  <si>
    <t>Units Sold of Sample</t>
  </si>
  <si>
    <t>Sample</t>
  </si>
  <si>
    <t>SAM of Sample</t>
  </si>
  <si>
    <t>SAM of Population</t>
  </si>
  <si>
    <t>Unit Sold of Population</t>
  </si>
  <si>
    <t>Value</t>
  </si>
  <si>
    <t>%</t>
  </si>
  <si>
    <t>Annual Target</t>
  </si>
  <si>
    <t>Review Number Calculation</t>
  </si>
  <si>
    <t>Product Score Avg on Selected Group</t>
  </si>
  <si>
    <t>Ratings</t>
  </si>
  <si>
    <t>Product Rating</t>
  </si>
  <si>
    <t>Just Rating</t>
  </si>
  <si>
    <t>Rating with Review</t>
  </si>
  <si>
    <t>Rating Target</t>
  </si>
  <si>
    <t>Units Sold (Cum)</t>
  </si>
  <si>
    <t>Rating (Cum)</t>
  </si>
  <si>
    <t>Rating ++ (Cum)</t>
  </si>
  <si>
    <t>Rating</t>
  </si>
  <si>
    <t>Mana acuan Price (E2)</t>
  </si>
  <si>
    <t>Proporsi 0,73 dan 0,27 dapat dari perbandingan rata-rata seluruh data</t>
  </si>
  <si>
    <t>Nilai tengah dari group product score 'High'</t>
  </si>
  <si>
    <t>SAM didapatkan dari total unit sold tiap Price Cat</t>
  </si>
  <si>
    <t>SOM (0,01%)</t>
  </si>
  <si>
    <t>Target Distribution</t>
  </si>
  <si>
    <t>Kenapa SOM pakai 0,01%?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</si>
</sst>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0.000"/>
    <numFmt numFmtId="165" formatCode="&quot;Rp&quot;#,##0"/>
    <numFmt numFmtId="166" formatCode="0.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11"/>
      <color rgb="FF000000"/>
      <name val="Consolas"/>
      <family val="3"/>
    </font>
    <font>
      <sz val="11"/>
      <color theme="1"/>
      <name val="Segoe UI"/>
      <family val="2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18" fillId="0" borderId="10" xfId="0" applyFont="1" applyBorder="1" applyAlignment="1">
      <alignment horizontal="right" vertical="center" wrapText="1"/>
    </xf>
    <xf numFmtId="164" fontId="19" fillId="0" borderId="10" xfId="0" applyNumberFormat="1" applyFont="1" applyBorder="1" applyAlignment="1">
      <alignment horizontal="right" vertical="center" wrapText="1"/>
    </xf>
    <xf numFmtId="0" fontId="21" fillId="0" borderId="0" xfId="0" applyFont="1"/>
    <xf numFmtId="0" fontId="18" fillId="0" borderId="11" xfId="0" applyFont="1" applyBorder="1" applyAlignment="1">
      <alignment horizontal="right" vertical="center" wrapText="1"/>
    </xf>
    <xf numFmtId="164" fontId="19" fillId="0" borderId="11" xfId="0" applyNumberFormat="1" applyFont="1" applyBorder="1" applyAlignment="1">
      <alignment horizontal="right" vertical="center" wrapText="1"/>
    </xf>
    <xf numFmtId="164" fontId="21" fillId="0" borderId="11" xfId="0" applyNumberFormat="1" applyFont="1" applyBorder="1"/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11" xfId="0" applyBorder="1" applyAlignment="1">
      <alignment horizontal="center"/>
    </xf>
    <xf numFmtId="0" fontId="0" fillId="0" borderId="11" xfId="0" applyBorder="1"/>
    <xf numFmtId="165" fontId="0" fillId="0" borderId="11" xfId="0" applyNumberFormat="1" applyBorder="1"/>
    <xf numFmtId="166" fontId="0" fillId="0" borderId="11" xfId="0" applyNumberFormat="1" applyBorder="1" applyAlignment="1">
      <alignment horizontal="center"/>
    </xf>
    <xf numFmtId="41" fontId="20" fillId="0" borderId="11" xfId="42" applyFont="1" applyBorder="1"/>
    <xf numFmtId="41" fontId="0" fillId="0" borderId="11" xfId="42" applyFont="1" applyBorder="1" applyAlignment="1">
      <alignment horizontal="center"/>
    </xf>
    <xf numFmtId="41" fontId="22" fillId="0" borderId="11" xfId="42" applyFont="1" applyBorder="1"/>
    <xf numFmtId="10" fontId="0" fillId="0" borderId="11" xfId="43" applyNumberFormat="1" applyFont="1" applyBorder="1" applyAlignment="1">
      <alignment horizontal="center"/>
    </xf>
    <xf numFmtId="41" fontId="20" fillId="0" borderId="11" xfId="42" applyFont="1" applyFill="1" applyBorder="1"/>
    <xf numFmtId="41" fontId="0" fillId="0" borderId="11" xfId="42" applyFont="1" applyBorder="1"/>
    <xf numFmtId="0" fontId="16" fillId="0" borderId="11" xfId="0" applyFont="1" applyBorder="1" applyAlignment="1">
      <alignment horizontal="center"/>
    </xf>
    <xf numFmtId="0" fontId="16" fillId="0" borderId="11" xfId="0" applyFont="1" applyBorder="1"/>
    <xf numFmtId="165" fontId="16" fillId="0" borderId="11" xfId="0" applyNumberFormat="1" applyFont="1" applyBorder="1" applyAlignment="1">
      <alignment horizontal="center"/>
    </xf>
    <xf numFmtId="165" fontId="16" fillId="0" borderId="0" xfId="0" applyNumberFormat="1" applyFont="1" applyAlignment="1">
      <alignment horizontal="center"/>
    </xf>
    <xf numFmtId="41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right"/>
    </xf>
    <xf numFmtId="0" fontId="16" fillId="0" borderId="11" xfId="0" applyFont="1" applyBorder="1" applyAlignment="1">
      <alignment horizontal="left"/>
    </xf>
    <xf numFmtId="0" fontId="0" fillId="0" borderId="0" xfId="0" applyAlignment="1">
      <alignment horizontal="left"/>
    </xf>
    <xf numFmtId="9" fontId="0" fillId="0" borderId="11" xfId="0" applyNumberFormat="1" applyBorder="1"/>
    <xf numFmtId="9" fontId="0" fillId="0" borderId="11" xfId="43" applyFont="1" applyBorder="1"/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1" xfId="0" applyFont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[0]" xfId="42" builtinId="6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7388-F737-46B2-9C1C-2D89D0F249F7}">
  <dimension ref="A1:E4"/>
  <sheetViews>
    <sheetView workbookViewId="0">
      <selection activeCell="F2" sqref="F2"/>
    </sheetView>
  </sheetViews>
  <sheetFormatPr defaultRowHeight="16.5" x14ac:dyDescent="0.3"/>
  <cols>
    <col min="1" max="1" width="17.28515625" style="3" customWidth="1"/>
    <col min="2" max="2" width="11.7109375" style="3" customWidth="1"/>
    <col min="3" max="3" width="9.140625" style="3"/>
    <col min="4" max="4" width="15.28515625" style="3" customWidth="1"/>
    <col min="5" max="5" width="12.85546875" style="3" customWidth="1"/>
    <col min="6" max="16384" width="9.140625" style="3"/>
  </cols>
  <sheetData>
    <row r="1" spans="1:5" x14ac:dyDescent="0.3">
      <c r="A1" s="1" t="s">
        <v>6</v>
      </c>
      <c r="B1" s="1" t="s">
        <v>2</v>
      </c>
      <c r="D1" s="4" t="s">
        <v>7</v>
      </c>
      <c r="E1" s="4" t="s">
        <v>2</v>
      </c>
    </row>
    <row r="2" spans="1:5" x14ac:dyDescent="0.3">
      <c r="A2" s="1" t="s">
        <v>3</v>
      </c>
      <c r="B2" s="2">
        <v>-0.44269799999999998</v>
      </c>
      <c r="D2" s="4" t="s">
        <v>3</v>
      </c>
      <c r="E2" s="5">
        <v>1.0999999999999999E-2</v>
      </c>
    </row>
    <row r="3" spans="1:5" x14ac:dyDescent="0.3">
      <c r="A3" s="1" t="s">
        <v>4</v>
      </c>
      <c r="B3" s="2">
        <v>0.81865100000000002</v>
      </c>
      <c r="D3" s="4" t="s">
        <v>4</v>
      </c>
      <c r="E3" s="5">
        <v>0</v>
      </c>
    </row>
    <row r="4" spans="1:5" x14ac:dyDescent="0.3">
      <c r="A4" s="1" t="s">
        <v>5</v>
      </c>
      <c r="B4" s="2">
        <v>-4.2144000000000001E-2</v>
      </c>
      <c r="D4" s="4" t="s">
        <v>5</v>
      </c>
      <c r="E4" s="6">
        <v>0.13700000000000001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ED7CC-FE69-4310-944D-AD2C3B4778B9}">
  <dimension ref="A1:M35"/>
  <sheetViews>
    <sheetView tabSelected="1" zoomScale="112" workbookViewId="0">
      <selection activeCell="E7" sqref="E7"/>
    </sheetView>
  </sheetViews>
  <sheetFormatPr defaultRowHeight="15" x14ac:dyDescent="0.25"/>
  <cols>
    <col min="1" max="1" width="18.28515625" style="7" bestFit="1" customWidth="1"/>
    <col min="2" max="2" width="18.42578125" style="7" bestFit="1" customWidth="1"/>
    <col min="3" max="3" width="14.28515625" style="7" bestFit="1" customWidth="1"/>
    <col min="4" max="4" width="18.28515625" style="7" bestFit="1" customWidth="1"/>
    <col min="5" max="5" width="15.85546875" style="8" bestFit="1" customWidth="1"/>
    <col min="6" max="6" width="18.5703125" style="8" bestFit="1" customWidth="1"/>
    <col min="7" max="7" width="15" style="8" bestFit="1" customWidth="1"/>
    <col min="8" max="8" width="15" style="8" customWidth="1"/>
    <col min="10" max="10" width="34.5703125" bestFit="1" customWidth="1"/>
    <col min="11" max="11" width="18.5703125" bestFit="1" customWidth="1"/>
    <col min="12" max="12" width="7.140625" bestFit="1" customWidth="1"/>
  </cols>
  <sheetData>
    <row r="1" spans="1:13" x14ac:dyDescent="0.25">
      <c r="A1" s="19" t="s">
        <v>9</v>
      </c>
      <c r="B1" s="19" t="s">
        <v>8</v>
      </c>
      <c r="C1" s="19" t="s">
        <v>15</v>
      </c>
      <c r="D1" s="19" t="s">
        <v>40</v>
      </c>
      <c r="E1" s="21" t="s">
        <v>3</v>
      </c>
      <c r="F1" s="21" t="s">
        <v>14</v>
      </c>
      <c r="G1" s="22"/>
      <c r="H1" s="22"/>
      <c r="J1" s="9"/>
      <c r="K1" s="19" t="s">
        <v>19</v>
      </c>
      <c r="L1" s="19" t="s">
        <v>23</v>
      </c>
    </row>
    <row r="2" spans="1:13" x14ac:dyDescent="0.25">
      <c r="A2" s="19" t="s">
        <v>13</v>
      </c>
      <c r="B2" s="12">
        <v>0.1</v>
      </c>
      <c r="C2" s="15">
        <f>K14</f>
        <v>412704495.412844</v>
      </c>
      <c r="D2" s="14">
        <f t="shared" ref="D2:D4" si="0">C2*0.0001</f>
        <v>41270.449541284404</v>
      </c>
      <c r="E2" s="11">
        <v>8000</v>
      </c>
      <c r="F2" s="11">
        <f>E2*D2*B2</f>
        <v>33016359.633027524</v>
      </c>
      <c r="J2" s="19" t="s">
        <v>13</v>
      </c>
      <c r="K2" s="13">
        <v>1095000</v>
      </c>
      <c r="L2" s="16">
        <f>K2/$K$8</f>
        <v>0.29998890451996979</v>
      </c>
      <c r="M2" t="s">
        <v>39</v>
      </c>
    </row>
    <row r="3" spans="1:13" x14ac:dyDescent="0.25">
      <c r="A3" s="19" t="s">
        <v>12</v>
      </c>
      <c r="B3" s="12">
        <v>0.12</v>
      </c>
      <c r="C3" s="15">
        <f t="shared" ref="C3:C5" si="1">K15</f>
        <v>434187743.11926609</v>
      </c>
      <c r="D3" s="14">
        <f t="shared" si="0"/>
        <v>43418.774311926609</v>
      </c>
      <c r="E3" s="11">
        <v>11000</v>
      </c>
      <c r="F3" s="11">
        <f>E3*D3*B3</f>
        <v>57312782.091743119</v>
      </c>
      <c r="J3" s="19" t="s">
        <v>12</v>
      </c>
      <c r="K3" s="13">
        <v>1152000</v>
      </c>
      <c r="L3" s="16">
        <f>K3/$K$8</f>
        <v>0.31560476530320114</v>
      </c>
    </row>
    <row r="4" spans="1:13" x14ac:dyDescent="0.25">
      <c r="A4" s="19" t="s">
        <v>11</v>
      </c>
      <c r="B4" s="12">
        <v>0.14000000000000001</v>
      </c>
      <c r="C4" s="15">
        <f t="shared" si="1"/>
        <v>294735082.5688073</v>
      </c>
      <c r="D4" s="14">
        <f t="shared" si="0"/>
        <v>29473.50825688073</v>
      </c>
      <c r="E4" s="11">
        <v>18500</v>
      </c>
      <c r="F4" s="11">
        <f>E4*D4*B4</f>
        <v>76336386.385321096</v>
      </c>
      <c r="J4" s="19" t="s">
        <v>11</v>
      </c>
      <c r="K4" s="13">
        <v>782000</v>
      </c>
      <c r="L4" s="16">
        <f>K4/$K$8</f>
        <v>0.21423865144713825</v>
      </c>
    </row>
    <row r="5" spans="1:13" x14ac:dyDescent="0.25">
      <c r="A5" s="19" t="s">
        <v>10</v>
      </c>
      <c r="B5" s="12">
        <v>0.16</v>
      </c>
      <c r="C5" s="15">
        <f t="shared" si="1"/>
        <v>234105211.65137616</v>
      </c>
      <c r="D5" s="14">
        <f>C5*0.0001</f>
        <v>23410.521165137616</v>
      </c>
      <c r="E5" s="11">
        <v>40000</v>
      </c>
      <c r="F5" s="11">
        <f>E5*D5*B5</f>
        <v>149827335.45688075</v>
      </c>
      <c r="J5" s="19" t="s">
        <v>10</v>
      </c>
      <c r="K5" s="13">
        <v>621135</v>
      </c>
      <c r="L5" s="16">
        <f>K5/$K$8</f>
        <v>0.17016767872969082</v>
      </c>
    </row>
    <row r="7" spans="1:13" x14ac:dyDescent="0.25">
      <c r="J7" s="10"/>
      <c r="K7" s="20" t="s">
        <v>22</v>
      </c>
    </row>
    <row r="8" spans="1:13" x14ac:dyDescent="0.25">
      <c r="A8" s="29" t="s">
        <v>24</v>
      </c>
      <c r="B8" s="30"/>
      <c r="J8" s="19" t="s">
        <v>17</v>
      </c>
      <c r="K8" s="14">
        <f>SUM(K2:K5)</f>
        <v>3650135</v>
      </c>
    </row>
    <row r="9" spans="1:13" x14ac:dyDescent="0.25">
      <c r="A9" s="25" t="s">
        <v>2</v>
      </c>
      <c r="B9" s="23">
        <f>D5</f>
        <v>23410.521165137616</v>
      </c>
      <c r="J9" s="19" t="s">
        <v>16</v>
      </c>
      <c r="K9" s="14">
        <v>123246</v>
      </c>
    </row>
    <row r="10" spans="1:13" x14ac:dyDescent="0.25">
      <c r="A10" s="25" t="s">
        <v>35</v>
      </c>
      <c r="B10" s="24">
        <f>K23</f>
        <v>7016</v>
      </c>
      <c r="J10" s="19" t="s">
        <v>18</v>
      </c>
      <c r="K10" s="17">
        <v>327</v>
      </c>
    </row>
    <row r="11" spans="1:13" x14ac:dyDescent="0.25">
      <c r="A11" s="25" t="s">
        <v>30</v>
      </c>
      <c r="B11" s="24">
        <f>K24</f>
        <v>2595</v>
      </c>
      <c r="J11" s="19" t="s">
        <v>21</v>
      </c>
      <c r="K11" s="18">
        <f>(K8/K10)*K9</f>
        <v>1375732532.7522936</v>
      </c>
    </row>
    <row r="13" spans="1:13" x14ac:dyDescent="0.25">
      <c r="A13" s="20" t="s">
        <v>0</v>
      </c>
      <c r="B13" s="20" t="s">
        <v>41</v>
      </c>
      <c r="C13" s="20" t="s">
        <v>1</v>
      </c>
      <c r="D13" s="20" t="s">
        <v>31</v>
      </c>
      <c r="E13" s="20" t="s">
        <v>30</v>
      </c>
      <c r="F13" s="20" t="s">
        <v>32</v>
      </c>
      <c r="G13" s="20" t="s">
        <v>33</v>
      </c>
      <c r="H13" s="20" t="s">
        <v>34</v>
      </c>
      <c r="J13" s="9"/>
      <c r="K13" s="19" t="s">
        <v>20</v>
      </c>
    </row>
    <row r="14" spans="1:13" x14ac:dyDescent="0.25">
      <c r="A14" s="10">
        <v>1</v>
      </c>
      <c r="B14" s="27">
        <v>0.05</v>
      </c>
      <c r="C14" s="10">
        <f>ROUNDUP(($B$9*B14),0)</f>
        <v>1171</v>
      </c>
      <c r="D14" s="10">
        <f>ROUNDUP(($B$10*B14),0)</f>
        <v>351</v>
      </c>
      <c r="E14" s="10">
        <f>ROUNDUP(($B$11*B14),0)</f>
        <v>130</v>
      </c>
      <c r="F14" s="10">
        <f>C14</f>
        <v>1171</v>
      </c>
      <c r="G14" s="10">
        <f>D14</f>
        <v>351</v>
      </c>
      <c r="H14" s="10">
        <f>E14</f>
        <v>130</v>
      </c>
      <c r="J14" s="19" t="s">
        <v>13</v>
      </c>
      <c r="K14" s="13">
        <f>$K$11*L2</f>
        <v>412704495.412844</v>
      </c>
    </row>
    <row r="15" spans="1:13" x14ac:dyDescent="0.25">
      <c r="A15" s="10">
        <v>2</v>
      </c>
      <c r="B15" s="27">
        <v>0.05</v>
      </c>
      <c r="C15" s="10">
        <f t="shared" ref="C15:C25" si="2">ROUNDUP(($B$9*B15),0)</f>
        <v>1171</v>
      </c>
      <c r="D15" s="10">
        <f t="shared" ref="D15:D25" si="3">ROUNDUP(($B$10*B15),0)</f>
        <v>351</v>
      </c>
      <c r="E15" s="10">
        <f t="shared" ref="E15:E25" si="4">ROUNDUP(($B$11*B15),0)</f>
        <v>130</v>
      </c>
      <c r="F15" s="10">
        <f>F14+C15</f>
        <v>2342</v>
      </c>
      <c r="G15" s="10">
        <f>G14+D15</f>
        <v>702</v>
      </c>
      <c r="H15" s="10">
        <f>H14+E15</f>
        <v>260</v>
      </c>
      <c r="J15" s="19" t="s">
        <v>12</v>
      </c>
      <c r="K15" s="13">
        <f>$K$11*L3</f>
        <v>434187743.11926609</v>
      </c>
    </row>
    <row r="16" spans="1:13" x14ac:dyDescent="0.25">
      <c r="A16" s="10">
        <v>3</v>
      </c>
      <c r="B16" s="28">
        <v>0.06</v>
      </c>
      <c r="C16" s="10">
        <f t="shared" si="2"/>
        <v>1405</v>
      </c>
      <c r="D16" s="10">
        <f t="shared" si="3"/>
        <v>421</v>
      </c>
      <c r="E16" s="10">
        <f t="shared" si="4"/>
        <v>156</v>
      </c>
      <c r="F16" s="10">
        <f t="shared" ref="F16:F25" si="5">F15+C16</f>
        <v>3747</v>
      </c>
      <c r="G16" s="10">
        <f t="shared" ref="G16:G25" si="6">G15+D16</f>
        <v>1123</v>
      </c>
      <c r="H16" s="10">
        <f t="shared" ref="H16:H25" si="7">H15+E16</f>
        <v>416</v>
      </c>
      <c r="J16" s="19" t="s">
        <v>11</v>
      </c>
      <c r="K16" s="13">
        <f>$K$11*L4</f>
        <v>294735082.5688073</v>
      </c>
    </row>
    <row r="17" spans="1:12" x14ac:dyDescent="0.25">
      <c r="A17" s="10">
        <v>4</v>
      </c>
      <c r="B17" s="28">
        <v>7.0000000000000007E-2</v>
      </c>
      <c r="C17" s="10">
        <f t="shared" si="2"/>
        <v>1639</v>
      </c>
      <c r="D17" s="10">
        <f t="shared" si="3"/>
        <v>492</v>
      </c>
      <c r="E17" s="10">
        <f t="shared" si="4"/>
        <v>182</v>
      </c>
      <c r="F17" s="10">
        <f t="shared" si="5"/>
        <v>5386</v>
      </c>
      <c r="G17" s="10">
        <f t="shared" si="6"/>
        <v>1615</v>
      </c>
      <c r="H17" s="10">
        <f t="shared" si="7"/>
        <v>598</v>
      </c>
      <c r="J17" s="19" t="s">
        <v>10</v>
      </c>
      <c r="K17" s="13">
        <f>$K$11*L5</f>
        <v>234105211.65137616</v>
      </c>
    </row>
    <row r="18" spans="1:12" x14ac:dyDescent="0.25">
      <c r="A18" s="10">
        <v>5</v>
      </c>
      <c r="B18" s="28">
        <v>0.08</v>
      </c>
      <c r="C18" s="10">
        <f t="shared" si="2"/>
        <v>1873</v>
      </c>
      <c r="D18" s="10">
        <f t="shared" si="3"/>
        <v>562</v>
      </c>
      <c r="E18" s="10">
        <f t="shared" si="4"/>
        <v>208</v>
      </c>
      <c r="F18" s="10">
        <f t="shared" si="5"/>
        <v>7259</v>
      </c>
      <c r="G18" s="10">
        <f t="shared" si="6"/>
        <v>2177</v>
      </c>
      <c r="H18" s="10">
        <f t="shared" si="7"/>
        <v>806</v>
      </c>
    </row>
    <row r="19" spans="1:12" x14ac:dyDescent="0.25">
      <c r="A19" s="10">
        <v>6</v>
      </c>
      <c r="B19" s="28">
        <v>0.09</v>
      </c>
      <c r="C19" s="10">
        <f t="shared" si="2"/>
        <v>2107</v>
      </c>
      <c r="D19" s="10">
        <f t="shared" si="3"/>
        <v>632</v>
      </c>
      <c r="E19" s="10">
        <f t="shared" si="4"/>
        <v>234</v>
      </c>
      <c r="F19" s="10">
        <f t="shared" si="5"/>
        <v>9366</v>
      </c>
      <c r="G19" s="10">
        <f t="shared" si="6"/>
        <v>2809</v>
      </c>
      <c r="H19" s="10">
        <f t="shared" si="7"/>
        <v>1040</v>
      </c>
      <c r="J19" s="31" t="s">
        <v>25</v>
      </c>
      <c r="K19" s="31"/>
    </row>
    <row r="20" spans="1:12" x14ac:dyDescent="0.25">
      <c r="A20" s="10">
        <v>7</v>
      </c>
      <c r="B20" s="28">
        <v>0.1</v>
      </c>
      <c r="C20" s="10">
        <f t="shared" si="2"/>
        <v>2342</v>
      </c>
      <c r="D20" s="10">
        <f t="shared" si="3"/>
        <v>702</v>
      </c>
      <c r="E20" s="10">
        <f t="shared" si="4"/>
        <v>260</v>
      </c>
      <c r="F20" s="10">
        <f t="shared" si="5"/>
        <v>11708</v>
      </c>
      <c r="G20" s="10">
        <f t="shared" si="6"/>
        <v>3511</v>
      </c>
      <c r="H20" s="10">
        <f t="shared" si="7"/>
        <v>1300</v>
      </c>
      <c r="J20" s="19" t="s">
        <v>26</v>
      </c>
      <c r="K20" s="10">
        <v>46944</v>
      </c>
      <c r="L20" t="s">
        <v>38</v>
      </c>
    </row>
    <row r="21" spans="1:12" x14ac:dyDescent="0.25">
      <c r="A21" s="10">
        <v>8</v>
      </c>
      <c r="B21" s="28">
        <v>0.1</v>
      </c>
      <c r="C21" s="10">
        <f t="shared" si="2"/>
        <v>2342</v>
      </c>
      <c r="D21" s="10">
        <f t="shared" si="3"/>
        <v>702</v>
      </c>
      <c r="E21" s="10">
        <f t="shared" si="4"/>
        <v>260</v>
      </c>
      <c r="F21" s="10">
        <f t="shared" si="5"/>
        <v>14050</v>
      </c>
      <c r="G21" s="10">
        <f t="shared" si="6"/>
        <v>4213</v>
      </c>
      <c r="H21" s="10">
        <f t="shared" si="7"/>
        <v>1560</v>
      </c>
      <c r="J21" s="19" t="s">
        <v>27</v>
      </c>
      <c r="K21" s="10">
        <v>4.8849999999999998</v>
      </c>
    </row>
    <row r="22" spans="1:12" x14ac:dyDescent="0.25">
      <c r="A22" s="10">
        <v>9</v>
      </c>
      <c r="B22" s="28">
        <v>0.1</v>
      </c>
      <c r="C22" s="10">
        <f t="shared" si="2"/>
        <v>2342</v>
      </c>
      <c r="D22" s="10">
        <f t="shared" si="3"/>
        <v>702</v>
      </c>
      <c r="E22" s="10">
        <f t="shared" si="4"/>
        <v>260</v>
      </c>
      <c r="F22" s="10">
        <f t="shared" si="5"/>
        <v>16392</v>
      </c>
      <c r="G22" s="10">
        <f t="shared" si="6"/>
        <v>4915</v>
      </c>
      <c r="H22" s="10">
        <f t="shared" si="7"/>
        <v>1820</v>
      </c>
      <c r="J22" s="19" t="s">
        <v>28</v>
      </c>
      <c r="K22" s="10">
        <f>K20/K21</f>
        <v>9609.8259979529175</v>
      </c>
    </row>
    <row r="23" spans="1:12" x14ac:dyDescent="0.25">
      <c r="A23" s="10">
        <v>10</v>
      </c>
      <c r="B23" s="28">
        <v>0.1</v>
      </c>
      <c r="C23" s="10">
        <f t="shared" si="2"/>
        <v>2342</v>
      </c>
      <c r="D23" s="10">
        <f t="shared" si="3"/>
        <v>702</v>
      </c>
      <c r="E23" s="10">
        <f t="shared" si="4"/>
        <v>260</v>
      </c>
      <c r="F23" s="10">
        <f t="shared" si="5"/>
        <v>18734</v>
      </c>
      <c r="G23" s="10">
        <f t="shared" si="6"/>
        <v>5617</v>
      </c>
      <c r="H23" s="10">
        <f t="shared" si="7"/>
        <v>2080</v>
      </c>
      <c r="J23" s="19" t="s">
        <v>29</v>
      </c>
      <c r="K23" s="10">
        <f>ROUNDUP(K22*0.73,0)</f>
        <v>7016</v>
      </c>
      <c r="L23" t="s">
        <v>37</v>
      </c>
    </row>
    <row r="24" spans="1:12" x14ac:dyDescent="0.25">
      <c r="A24" s="10">
        <v>11</v>
      </c>
      <c r="B24" s="28">
        <v>0.1</v>
      </c>
      <c r="C24" s="10">
        <f t="shared" si="2"/>
        <v>2342</v>
      </c>
      <c r="D24" s="10">
        <f t="shared" si="3"/>
        <v>702</v>
      </c>
      <c r="E24" s="10">
        <f t="shared" si="4"/>
        <v>260</v>
      </c>
      <c r="F24" s="10">
        <f t="shared" si="5"/>
        <v>21076</v>
      </c>
      <c r="G24" s="10">
        <f t="shared" si="6"/>
        <v>6319</v>
      </c>
      <c r="H24" s="10">
        <f t="shared" si="7"/>
        <v>2340</v>
      </c>
      <c r="J24" s="19" t="s">
        <v>30</v>
      </c>
      <c r="K24" s="10">
        <f>ROUNDUP(K22*0.27,0)</f>
        <v>2595</v>
      </c>
    </row>
    <row r="25" spans="1:12" x14ac:dyDescent="0.25">
      <c r="A25" s="10">
        <v>12</v>
      </c>
      <c r="B25" s="28">
        <v>0.1</v>
      </c>
      <c r="C25" s="10">
        <f t="shared" si="2"/>
        <v>2342</v>
      </c>
      <c r="D25" s="10">
        <f t="shared" si="3"/>
        <v>702</v>
      </c>
      <c r="E25" s="10">
        <f t="shared" si="4"/>
        <v>260</v>
      </c>
      <c r="F25" s="10">
        <f t="shared" si="5"/>
        <v>23418</v>
      </c>
      <c r="G25" s="10">
        <f t="shared" si="6"/>
        <v>7021</v>
      </c>
      <c r="H25" s="10">
        <f t="shared" si="7"/>
        <v>2600</v>
      </c>
    </row>
    <row r="27" spans="1:12" x14ac:dyDescent="0.25">
      <c r="A27" s="26" t="s">
        <v>42</v>
      </c>
    </row>
    <row r="28" spans="1:12" x14ac:dyDescent="0.25">
      <c r="A28" s="26" t="s">
        <v>36</v>
      </c>
    </row>
    <row r="29" spans="1:12" x14ac:dyDescent="0.25">
      <c r="A29" s="26"/>
    </row>
    <row r="30" spans="1:12" x14ac:dyDescent="0.25">
      <c r="A30" s="26"/>
    </row>
    <row r="31" spans="1:12" x14ac:dyDescent="0.25">
      <c r="A31" s="26"/>
    </row>
    <row r="32" spans="1:12" x14ac:dyDescent="0.25">
      <c r="A32" s="26"/>
    </row>
    <row r="33" spans="1:1" x14ac:dyDescent="0.25">
      <c r="A33" s="26"/>
    </row>
    <row r="34" spans="1:1" x14ac:dyDescent="0.25">
      <c r="A34" s="26"/>
    </row>
    <row r="35" spans="1:1" x14ac:dyDescent="0.25">
      <c r="A35" s="26"/>
    </row>
  </sheetData>
  <mergeCells count="2">
    <mergeCell ref="A8:B8"/>
    <mergeCell ref="J19:K19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 Conclusion</vt:lpstr>
      <vt:lpstr>Margin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IDJAK141_Rifqi Asyrafi</dc:creator>
  <cp:lastModifiedBy>IDJAK141_Rifqi Asyrafi</cp:lastModifiedBy>
  <dcterms:created xsi:type="dcterms:W3CDTF">2026-01-02T13:25:23Z</dcterms:created>
  <dcterms:modified xsi:type="dcterms:W3CDTF">2026-01-31T09:31:27Z</dcterms:modified>
</cp:coreProperties>
</file>